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8_{1D6B4395-052A-46CA-A487-30D6E0EC7D1E}" xr6:coauthVersionLast="47" xr6:coauthVersionMax="47" xr10:uidLastSave="{00000000-0000-0000-0000-000000000000}"/>
  <bookViews>
    <workbookView xWindow="-108" yWindow="-108" windowWidth="23256" windowHeight="12456" xr2:uid="{05F5C0AA-6D0A-4ECB-9666-1057CB241575}"/>
  </bookViews>
  <sheets>
    <sheet name="2 inputs" sheetId="3" r:id="rId1"/>
    <sheet name="1 input" sheetId="2" r:id="rId2"/>
  </sheets>
  <externalReferences>
    <externalReference r:id="rId3"/>
  </externalReferences>
  <definedNames>
    <definedName name="base" localSheetId="1">'1 input'!$C$3</definedName>
    <definedName name="base" localSheetId="0">'2 inputs'!$C$3</definedName>
    <definedName name="base">'[1]Data_Table_One-Input'!$C$3</definedName>
    <definedName name="bonus" localSheetId="1">'1 input'!$C$4</definedName>
    <definedName name="bonus" localSheetId="0">'2 inputs'!$C$4</definedName>
    <definedName name="bonus">'[1]Data_Table_One-Input'!$C$4</definedName>
    <definedName name="bonuys" localSheetId="1">'1 input'!$C$4</definedName>
    <definedName name="bonuys" localSheetId="0">'2 inputs'!$C$4</definedName>
    <definedName name="raise" localSheetId="1">'1 input'!$C$5</definedName>
    <definedName name="raise" localSheetId="0">'2 inputs'!$C$5</definedName>
    <definedName name="raise">'[1]Data_Table_One-Input'!$C$5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14" i="3" s="1"/>
  <c r="E3" i="3" s="1"/>
  <c r="C13" i="2" l="1"/>
  <c r="J3" i="2" s="1"/>
  <c r="C12" i="2"/>
  <c r="I3" i="2" s="1"/>
  <c r="C11" i="2"/>
  <c r="H3" i="2" s="1"/>
  <c r="C10" i="2"/>
  <c r="G3" i="2" s="1"/>
  <c r="C9" i="2"/>
  <c r="C14" i="2" l="1"/>
  <c r="K3" i="2" s="1"/>
  <c r="F3" i="2"/>
</calcChain>
</file>

<file path=xl/sharedStrings.xml><?xml version="1.0" encoding="utf-8"?>
<sst xmlns="http://schemas.openxmlformats.org/spreadsheetml/2006/main" count="25" uniqueCount="13">
  <si>
    <t>Input Cells</t>
  </si>
  <si>
    <t>Base Salary</t>
  </si>
  <si>
    <t>Bonus</t>
  </si>
  <si>
    <t>Annual Raise</t>
  </si>
  <si>
    <t>Result Cells</t>
  </si>
  <si>
    <t>Year</t>
  </si>
  <si>
    <t>Amount</t>
  </si>
  <si>
    <t>Total</t>
  </si>
  <si>
    <t>Year 0</t>
  </si>
  <si>
    <t>Year 1</t>
  </si>
  <si>
    <t>Year 2</t>
  </si>
  <si>
    <t>Year 3</t>
  </si>
  <si>
    <t>Year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</si>
</sst>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31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/>
    <xf numFmtId="164" fontId="2" fillId="2" borderId="5" xfId="3" applyNumberFormat="1" applyBorder="1"/>
    <xf numFmtId="9" fontId="2" fillId="2" borderId="5" xfId="3" applyNumberFormat="1" applyBorder="1"/>
    <xf numFmtId="165" fontId="3" fillId="0" borderId="9" xfId="0" applyNumberFormat="1" applyFont="1" applyBorder="1"/>
    <xf numFmtId="164" fontId="0" fillId="0" borderId="0" xfId="1" applyNumberFormat="1" applyFont="1" applyBorder="1"/>
    <xf numFmtId="164" fontId="0" fillId="0" borderId="10" xfId="1" applyNumberFormat="1" applyFont="1" applyBorder="1"/>
    <xf numFmtId="0" fontId="3" fillId="0" borderId="11" xfId="0" applyFont="1" applyBorder="1"/>
    <xf numFmtId="165" fontId="2" fillId="2" borderId="12" xfId="3" applyNumberFormat="1" applyBorder="1"/>
    <xf numFmtId="165" fontId="3" fillId="0" borderId="13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64" fontId="0" fillId="0" borderId="14" xfId="1" applyNumberFormat="1" applyFont="1" applyBorder="1"/>
    <xf numFmtId="165" fontId="3" fillId="0" borderId="15" xfId="0" applyNumberFormat="1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0" fontId="3" fillId="0" borderId="11" xfId="0" applyFont="1" applyBorder="1" applyAlignment="1">
      <alignment horizontal="left"/>
    </xf>
    <xf numFmtId="164" fontId="3" fillId="0" borderId="18" xfId="1" applyNumberFormat="1" applyFont="1" applyBorder="1"/>
    <xf numFmtId="164" fontId="5" fillId="0" borderId="6" xfId="2" applyNumberFormat="1" applyFont="1" applyBorder="1"/>
    <xf numFmtId="164" fontId="5" fillId="0" borderId="7" xfId="2" applyNumberFormat="1" applyFont="1" applyBorder="1"/>
    <xf numFmtId="164" fontId="5" fillId="0" borderId="8" xfId="2" applyNumberFormat="1" applyFont="1" applyBorder="1"/>
    <xf numFmtId="0" fontId="3" fillId="0" borderId="0" xfId="0" applyFont="1" applyBorder="1" applyAlignment="1">
      <alignment horizontal="center"/>
    </xf>
    <xf numFmtId="164" fontId="6" fillId="0" borderId="19" xfId="0" applyNumberFormat="1" applyFont="1" applyBorder="1"/>
    <xf numFmtId="0" fontId="3" fillId="0" borderId="0" xfId="0" applyFont="1" applyBorder="1" applyAlignment="1"/>
    <xf numFmtId="9" fontId="7" fillId="0" borderId="6" xfId="2" applyFont="1" applyBorder="1"/>
    <xf numFmtId="9" fontId="7" fillId="0" borderId="7" xfId="2" applyFont="1" applyBorder="1"/>
    <xf numFmtId="9" fontId="7" fillId="0" borderId="8" xfId="2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490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Temp/ba2f8e7d-938e-44fc-888c-f90925803797_Excel_Data_Analytics_Course-main.zip.797/Excel_Data_Analytics_Course-main/6_Advanced_Data_Analysis/2_Data_Tables.xlsx" TargetMode="External"/><Relationship Id="rId2" Type="http://schemas.openxmlformats.org/officeDocument/2006/relationships/externalLinkPath" Target="file:///C:\Users\ADMIN\AppData\Local\Temp\ba2f8e7d-938e-44fc-888c-f90925803797_Excel_Data_Analytics_Course-main.zip.797\Excel_Data_Analytics_Course-main\6_Advanced_Data_Analysis\2_Data_Tables.xlsx" TargetMode="External"/><Relationship Id="rId1" Type="http://schemas.openxmlformats.org/officeDocument/2006/relationships/externalLinkPath" Target="/Users/ADMIN/AppData/Local/Temp/ba2f8e7d-938e-44fc-888c-f90925803797_Excel_Data_Analytics_Course-main.zip.797/Excel_Data_Analytics_Course-main/6_Advanced_Data_Analysis/2_Data_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iginal"/>
      <sheetName val="Data_Table_One-Input"/>
      <sheetName val="Data_Table_Two-Input"/>
    </sheetNames>
    <sheetDataSet>
      <sheetData sheetId="0"/>
      <sheetData sheetId="1">
        <row r="3">
          <cell r="C3">
            <v>100000</v>
          </cell>
        </row>
        <row r="4">
          <cell r="C4">
            <v>0.1</v>
          </cell>
        </row>
        <row r="5">
          <cell r="C5">
            <v>1.4999999999999999E-2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96B9-53F8-4E97-BE6D-494EFB3B0FE5}">
  <dimension ref="B1:K14"/>
  <sheetViews>
    <sheetView tabSelected="1" zoomScaleNormal="100" workbookViewId="0">
      <selection activeCell="L16" sqref="L16"/>
    </sheetView>
  </sheetViews>
  <sheetFormatPr defaultRowHeight="14.4" x14ac:dyDescent="0.3"/>
  <cols>
    <col min="2" max="2" width="11.5546875" customWidth="1"/>
    <col min="3" max="3" width="9.88671875" bestFit="1" customWidth="1"/>
    <col min="5" max="5" width="11.77734375" bestFit="1" customWidth="1"/>
    <col min="6" max="11" width="9.5546875" bestFit="1" customWidth="1"/>
  </cols>
  <sheetData>
    <row r="1" spans="2:11" ht="15" thickBot="1" x14ac:dyDescent="0.35"/>
    <row r="2" spans="2:11" ht="15" thickBot="1" x14ac:dyDescent="0.35">
      <c r="B2" s="1" t="s">
        <v>0</v>
      </c>
      <c r="C2" s="2"/>
      <c r="E2" s="3" t="s">
        <v>3</v>
      </c>
      <c r="F2" s="25" t="s">
        <v>2</v>
      </c>
      <c r="G2" s="25"/>
      <c r="H2" s="25"/>
      <c r="I2" s="25"/>
      <c r="J2" s="25"/>
      <c r="K2" s="25"/>
    </row>
    <row r="3" spans="2:11" ht="15" thickBot="1" x14ac:dyDescent="0.35">
      <c r="B3" s="4" t="s">
        <v>1</v>
      </c>
      <c r="C3" s="5">
        <v>100000</v>
      </c>
      <c r="E3" s="26">
        <f>C14</f>
        <v>566749.36181874992</v>
      </c>
      <c r="F3" s="28">
        <v>0</v>
      </c>
      <c r="G3" s="29">
        <v>0.05</v>
      </c>
      <c r="H3" s="29">
        <v>0.1</v>
      </c>
      <c r="I3" s="29">
        <v>0.15</v>
      </c>
      <c r="J3" s="29">
        <v>0.2</v>
      </c>
      <c r="K3" s="30">
        <v>0.25</v>
      </c>
    </row>
    <row r="4" spans="2:11" x14ac:dyDescent="0.3">
      <c r="B4" s="4" t="s">
        <v>2</v>
      </c>
      <c r="C4" s="6">
        <v>0.1</v>
      </c>
      <c r="E4" s="7">
        <v>0</v>
      </c>
      <c r="F4" s="8">
        <f t="dataTable" ref="F4:K12" dt2D="1" dtr="1" r1="C4" r2="C5"/>
        <v>500000</v>
      </c>
      <c r="G4" s="8">
        <v>525000</v>
      </c>
      <c r="H4" s="8">
        <v>550000.00000000012</v>
      </c>
      <c r="I4" s="8">
        <v>574999.99999999988</v>
      </c>
      <c r="J4" s="8">
        <v>600000</v>
      </c>
      <c r="K4" s="9">
        <v>625000</v>
      </c>
    </row>
    <row r="5" spans="2:11" ht="15" thickBot="1" x14ac:dyDescent="0.35">
      <c r="B5" s="10" t="s">
        <v>3</v>
      </c>
      <c r="C5" s="11">
        <v>1.4999999999999999E-2</v>
      </c>
      <c r="E5" s="12">
        <v>5.0000000000000001E-3</v>
      </c>
      <c r="F5" s="8">
        <v>505025.06256249989</v>
      </c>
      <c r="G5" s="8">
        <v>530276.31569062488</v>
      </c>
      <c r="H5" s="8">
        <v>555527.56881874998</v>
      </c>
      <c r="I5" s="8">
        <v>580778.82194687473</v>
      </c>
      <c r="J5" s="8">
        <v>606030.07507499983</v>
      </c>
      <c r="K5" s="9">
        <v>631281.32820312493</v>
      </c>
    </row>
    <row r="6" spans="2:11" ht="15" thickBot="1" x14ac:dyDescent="0.35">
      <c r="E6" s="12">
        <v>0.01</v>
      </c>
      <c r="F6" s="8">
        <v>510100.50099999999</v>
      </c>
      <c r="G6" s="8">
        <v>535605.52604999999</v>
      </c>
      <c r="H6" s="8">
        <v>561110.55110000004</v>
      </c>
      <c r="I6" s="8">
        <v>586615.57614999986</v>
      </c>
      <c r="J6" s="8">
        <v>612120.60120000003</v>
      </c>
      <c r="K6" s="9">
        <v>637625.62624999997</v>
      </c>
    </row>
    <row r="7" spans="2:11" x14ac:dyDescent="0.3">
      <c r="B7" s="1" t="s">
        <v>4</v>
      </c>
      <c r="C7" s="2"/>
      <c r="E7" s="12">
        <v>1.4999999999999999E-2</v>
      </c>
      <c r="F7" s="8">
        <v>515226.6925624999</v>
      </c>
      <c r="G7" s="8">
        <v>540988.02719062497</v>
      </c>
      <c r="H7" s="8">
        <v>566749.36181874992</v>
      </c>
      <c r="I7" s="8">
        <v>592510.69644687476</v>
      </c>
      <c r="J7" s="8">
        <v>618272.03107499983</v>
      </c>
      <c r="K7" s="9">
        <v>644033.3657031249</v>
      </c>
    </row>
    <row r="8" spans="2:11" x14ac:dyDescent="0.3">
      <c r="B8" s="13" t="s">
        <v>5</v>
      </c>
      <c r="C8" s="14" t="s">
        <v>6</v>
      </c>
      <c r="E8" s="12">
        <v>0.02</v>
      </c>
      <c r="F8" s="8">
        <v>520404.016</v>
      </c>
      <c r="G8" s="8">
        <v>546424.21679999994</v>
      </c>
      <c r="H8" s="8">
        <v>572444.41760000004</v>
      </c>
      <c r="I8" s="8">
        <v>598464.61839999992</v>
      </c>
      <c r="J8" s="8">
        <v>624484.81919999991</v>
      </c>
      <c r="K8" s="9">
        <v>650505.02</v>
      </c>
    </row>
    <row r="9" spans="2:11" x14ac:dyDescent="0.3">
      <c r="B9" s="15">
        <v>0</v>
      </c>
      <c r="C9" s="16">
        <f>(base*(1+raise)^B9)*(1+bonus)</f>
        <v>110000.00000000001</v>
      </c>
      <c r="E9" s="12">
        <v>2.5000000000000001E-2</v>
      </c>
      <c r="F9" s="8">
        <v>525632.8515625</v>
      </c>
      <c r="G9" s="8">
        <v>551914.494140625</v>
      </c>
      <c r="H9" s="8">
        <v>578196.13671875</v>
      </c>
      <c r="I9" s="8">
        <v>604477.77929687488</v>
      </c>
      <c r="J9" s="8">
        <v>630759.42187499988</v>
      </c>
      <c r="K9" s="9">
        <v>657041.064453125</v>
      </c>
    </row>
    <row r="10" spans="2:11" x14ac:dyDescent="0.3">
      <c r="B10" s="15">
        <v>1</v>
      </c>
      <c r="C10" s="16">
        <f>(base*(1+raise)^B10)*(1+bonus)</f>
        <v>111650</v>
      </c>
      <c r="E10" s="12">
        <v>0.03</v>
      </c>
      <c r="F10" s="8">
        <v>530913.58100000001</v>
      </c>
      <c r="G10" s="8">
        <v>557459.26005000004</v>
      </c>
      <c r="H10" s="8">
        <v>584004.93910000008</v>
      </c>
      <c r="I10" s="8">
        <v>610550.61814999988</v>
      </c>
      <c r="J10" s="8">
        <v>637096.29719999991</v>
      </c>
      <c r="K10" s="9">
        <v>663641.97625000007</v>
      </c>
    </row>
    <row r="11" spans="2:11" x14ac:dyDescent="0.3">
      <c r="B11" s="15">
        <v>2</v>
      </c>
      <c r="C11" s="16">
        <f>(base*(1+raise)^B11)*(1+bonus)</f>
        <v>113324.74999999997</v>
      </c>
      <c r="E11" s="12">
        <v>3.5000000000000003E-2</v>
      </c>
      <c r="F11" s="8">
        <v>536246.58756249992</v>
      </c>
      <c r="G11" s="8">
        <v>563058.91694062494</v>
      </c>
      <c r="H11" s="8">
        <v>589871.24631874997</v>
      </c>
      <c r="I11" s="8">
        <v>616683.57569687488</v>
      </c>
      <c r="J11" s="8">
        <v>643495.9050749999</v>
      </c>
      <c r="K11" s="9">
        <v>670308.23445312493</v>
      </c>
    </row>
    <row r="12" spans="2:11" ht="15" thickBot="1" x14ac:dyDescent="0.35">
      <c r="B12" s="15">
        <v>3</v>
      </c>
      <c r="C12" s="16">
        <f>(base*(1+raise)^B12)*(1+bonus)</f>
        <v>115024.62124999997</v>
      </c>
      <c r="E12" s="17">
        <v>0.04</v>
      </c>
      <c r="F12" s="18">
        <v>541632.25600000005</v>
      </c>
      <c r="G12" s="18">
        <v>568713.86880000005</v>
      </c>
      <c r="H12" s="18">
        <v>595795.48160000006</v>
      </c>
      <c r="I12" s="18">
        <v>622877.09440000006</v>
      </c>
      <c r="J12" s="18">
        <v>649958.70720000006</v>
      </c>
      <c r="K12" s="19">
        <v>677040.32000000007</v>
      </c>
    </row>
    <row r="13" spans="2:11" x14ac:dyDescent="0.3">
      <c r="B13" s="15">
        <v>4</v>
      </c>
      <c r="C13" s="16">
        <f>(base*(1+raise)^B13)*(1+bonus)</f>
        <v>116749.99056874996</v>
      </c>
    </row>
    <row r="14" spans="2:11" ht="15" thickBot="1" x14ac:dyDescent="0.35">
      <c r="B14" s="20" t="s">
        <v>7</v>
      </c>
      <c r="C14" s="21">
        <f>SUM(C9:C13)</f>
        <v>566749.36181874992</v>
      </c>
    </row>
  </sheetData>
  <mergeCells count="3">
    <mergeCell ref="B2:C2"/>
    <mergeCell ref="F2:K2"/>
    <mergeCell ref="B7:C7"/>
  </mergeCells>
  <conditionalFormatting sqref="F4:K12">
    <cfRule type="colorScale" priority="1">
      <colorScale>
        <cfvo type="min"/>
        <cfvo type="max"/>
        <color rgb="FFFCFCFF"/>
        <color rgb="FFF490D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D695-D381-43F2-BA0B-1AD43FC8EE66}">
  <dimension ref="B1:K14"/>
  <sheetViews>
    <sheetView zoomScaleNormal="100" workbookViewId="0">
      <selection activeCell="K4" sqref="K4:K12"/>
    </sheetView>
  </sheetViews>
  <sheetFormatPr defaultRowHeight="14.4" x14ac:dyDescent="0.3"/>
  <cols>
    <col min="2" max="2" width="11.5546875" customWidth="1"/>
    <col min="3" max="3" width="9.88671875" bestFit="1" customWidth="1"/>
    <col min="5" max="5" width="11.77734375" bestFit="1" customWidth="1"/>
    <col min="6" max="11" width="9.5546875" bestFit="1" customWidth="1"/>
  </cols>
  <sheetData>
    <row r="1" spans="2:11" ht="15" thickBot="1" x14ac:dyDescent="0.35"/>
    <row r="2" spans="2:11" ht="15" thickBot="1" x14ac:dyDescent="0.35">
      <c r="B2" s="1" t="s">
        <v>0</v>
      </c>
      <c r="C2" s="2"/>
      <c r="E2" s="3" t="s">
        <v>3</v>
      </c>
      <c r="F2" s="27" t="s">
        <v>8</v>
      </c>
      <c r="G2" s="27" t="s">
        <v>9</v>
      </c>
      <c r="H2" s="27" t="s">
        <v>10</v>
      </c>
      <c r="I2" s="27" t="s">
        <v>11</v>
      </c>
      <c r="J2" s="27" t="s">
        <v>12</v>
      </c>
      <c r="K2" s="27" t="s">
        <v>7</v>
      </c>
    </row>
    <row r="3" spans="2:11" ht="15" thickBot="1" x14ac:dyDescent="0.35">
      <c r="B3" s="4" t="s">
        <v>1</v>
      </c>
      <c r="C3" s="5">
        <v>100000</v>
      </c>
      <c r="E3" s="26"/>
      <c r="F3" s="22">
        <f>C9</f>
        <v>110000.00000000001</v>
      </c>
      <c r="G3" s="23">
        <f>C10</f>
        <v>111650</v>
      </c>
      <c r="H3" s="23">
        <f>C11</f>
        <v>113324.74999999997</v>
      </c>
      <c r="I3" s="23">
        <f>C12</f>
        <v>115024.62124999997</v>
      </c>
      <c r="J3" s="23">
        <f>C13</f>
        <v>116749.99056874996</v>
      </c>
      <c r="K3" s="24">
        <f>C14</f>
        <v>566749.36181874992</v>
      </c>
    </row>
    <row r="4" spans="2:11" x14ac:dyDescent="0.3">
      <c r="B4" s="4" t="s">
        <v>2</v>
      </c>
      <c r="C4" s="6">
        <v>0.1</v>
      </c>
      <c r="E4" s="7">
        <v>0</v>
      </c>
      <c r="F4" s="8">
        <f t="dataTable" ref="F4:K12" dt2D="0" dtr="0" r1="C5"/>
        <v>110000.00000000001</v>
      </c>
      <c r="G4" s="8">
        <v>110000.00000000001</v>
      </c>
      <c r="H4" s="8">
        <v>110000.00000000001</v>
      </c>
      <c r="I4" s="8">
        <v>110000.00000000001</v>
      </c>
      <c r="J4" s="8">
        <v>110000.00000000001</v>
      </c>
      <c r="K4" s="9">
        <v>550000.00000000012</v>
      </c>
    </row>
    <row r="5" spans="2:11" ht="15" thickBot="1" x14ac:dyDescent="0.35">
      <c r="B5" s="10" t="s">
        <v>3</v>
      </c>
      <c r="C5" s="11">
        <v>1.4999999999999999E-2</v>
      </c>
      <c r="E5" s="12">
        <v>5.0000000000000001E-3</v>
      </c>
      <c r="F5" s="8">
        <v>110000.00000000001</v>
      </c>
      <c r="G5" s="8">
        <v>110550</v>
      </c>
      <c r="H5" s="8">
        <v>111102.74999999997</v>
      </c>
      <c r="I5" s="8">
        <v>111658.26374999997</v>
      </c>
      <c r="J5" s="8">
        <v>112216.55506874995</v>
      </c>
      <c r="K5" s="9">
        <v>555527.56881874998</v>
      </c>
    </row>
    <row r="6" spans="2:11" ht="15" thickBot="1" x14ac:dyDescent="0.35">
      <c r="E6" s="12">
        <v>0.01</v>
      </c>
      <c r="F6" s="8">
        <v>110000.00000000001</v>
      </c>
      <c r="G6" s="8">
        <v>111100.00000000001</v>
      </c>
      <c r="H6" s="8">
        <v>112211.00000000001</v>
      </c>
      <c r="I6" s="8">
        <v>113333.11</v>
      </c>
      <c r="J6" s="8">
        <v>114466.44110000001</v>
      </c>
      <c r="K6" s="9">
        <v>561110.55110000004</v>
      </c>
    </row>
    <row r="7" spans="2:11" x14ac:dyDescent="0.3">
      <c r="B7" s="1" t="s">
        <v>4</v>
      </c>
      <c r="C7" s="2"/>
      <c r="E7" s="12">
        <v>1.4999999999999999E-2</v>
      </c>
      <c r="F7" s="8">
        <v>110000.00000000001</v>
      </c>
      <c r="G7" s="8">
        <v>111650</v>
      </c>
      <c r="H7" s="8">
        <v>113324.74999999997</v>
      </c>
      <c r="I7" s="8">
        <v>115024.62124999997</v>
      </c>
      <c r="J7" s="8">
        <v>116749.99056874996</v>
      </c>
      <c r="K7" s="9">
        <v>566749.36181874992</v>
      </c>
    </row>
    <row r="8" spans="2:11" x14ac:dyDescent="0.3">
      <c r="B8" s="13" t="s">
        <v>5</v>
      </c>
      <c r="C8" s="14" t="s">
        <v>6</v>
      </c>
      <c r="E8" s="12">
        <v>0.02</v>
      </c>
      <c r="F8" s="8">
        <v>110000.00000000001</v>
      </c>
      <c r="G8" s="8">
        <v>112200.00000000001</v>
      </c>
      <c r="H8" s="8">
        <v>114444.00000000001</v>
      </c>
      <c r="I8" s="8">
        <v>116732.87999999999</v>
      </c>
      <c r="J8" s="8">
        <v>119067.53760000001</v>
      </c>
      <c r="K8" s="9">
        <v>572444.41760000004</v>
      </c>
    </row>
    <row r="9" spans="2:11" x14ac:dyDescent="0.3">
      <c r="B9" s="15">
        <v>0</v>
      </c>
      <c r="C9" s="16">
        <f>(base*(1+raise)^B9)*(1+bonus)</f>
        <v>110000.00000000001</v>
      </c>
      <c r="E9" s="12">
        <v>2.5000000000000001E-2</v>
      </c>
      <c r="F9" s="8">
        <v>110000.00000000001</v>
      </c>
      <c r="G9" s="8">
        <v>112750</v>
      </c>
      <c r="H9" s="8">
        <v>115568.75</v>
      </c>
      <c r="I9" s="8">
        <v>118457.96875</v>
      </c>
      <c r="J9" s="8">
        <v>121419.41796874997</v>
      </c>
      <c r="K9" s="9">
        <v>578196.13671875</v>
      </c>
    </row>
    <row r="10" spans="2:11" x14ac:dyDescent="0.3">
      <c r="B10" s="15">
        <v>1</v>
      </c>
      <c r="C10" s="16">
        <f>(base*(1+raise)^B10)*(1+bonus)</f>
        <v>111650</v>
      </c>
      <c r="E10" s="12">
        <v>0.03</v>
      </c>
      <c r="F10" s="8">
        <v>110000.00000000001</v>
      </c>
      <c r="G10" s="8">
        <v>113300.00000000001</v>
      </c>
      <c r="H10" s="8">
        <v>116699.00000000001</v>
      </c>
      <c r="I10" s="8">
        <v>120199.97</v>
      </c>
      <c r="J10" s="8">
        <v>123805.9691</v>
      </c>
      <c r="K10" s="9">
        <v>584004.93910000008</v>
      </c>
    </row>
    <row r="11" spans="2:11" x14ac:dyDescent="0.3">
      <c r="B11" s="15">
        <v>2</v>
      </c>
      <c r="C11" s="16">
        <f>(base*(1+raise)^B11)*(1+bonus)</f>
        <v>113324.74999999997</v>
      </c>
      <c r="E11" s="12">
        <v>3.5000000000000003E-2</v>
      </c>
      <c r="F11" s="8">
        <v>110000.00000000001</v>
      </c>
      <c r="G11" s="8">
        <v>113850</v>
      </c>
      <c r="H11" s="8">
        <v>117834.75</v>
      </c>
      <c r="I11" s="8">
        <v>121958.96624999998</v>
      </c>
      <c r="J11" s="8">
        <v>126227.53006874998</v>
      </c>
      <c r="K11" s="9">
        <v>589871.24631874997</v>
      </c>
    </row>
    <row r="12" spans="2:11" ht="15" thickBot="1" x14ac:dyDescent="0.35">
      <c r="B12" s="15">
        <v>3</v>
      </c>
      <c r="C12" s="16">
        <f>(base*(1+raise)^B12)*(1+bonus)</f>
        <v>115024.62124999997</v>
      </c>
      <c r="E12" s="17">
        <v>0.04</v>
      </c>
      <c r="F12" s="18">
        <v>110000.00000000001</v>
      </c>
      <c r="G12" s="18">
        <v>114400.00000000001</v>
      </c>
      <c r="H12" s="18">
        <v>118976.00000000003</v>
      </c>
      <c r="I12" s="18">
        <v>123735.04000000002</v>
      </c>
      <c r="J12" s="18">
        <v>128684.44160000002</v>
      </c>
      <c r="K12" s="19">
        <v>595795.48160000006</v>
      </c>
    </row>
    <row r="13" spans="2:11" x14ac:dyDescent="0.3">
      <c r="B13" s="15">
        <v>4</v>
      </c>
      <c r="C13" s="16">
        <f>(base*(1+raise)^B13)*(1+bonus)</f>
        <v>116749.99056874996</v>
      </c>
    </row>
    <row r="14" spans="2:11" ht="15" thickBot="1" x14ac:dyDescent="0.35">
      <c r="B14" s="20" t="s">
        <v>7</v>
      </c>
      <c r="C14" s="21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rgb="FFF490DF"/>
      </colorScale>
    </cfRule>
  </conditionalFormatting>
  <conditionalFormatting sqref="K4:K12">
    <cfRule type="colorScale" priority="1">
      <colorScale>
        <cfvo type="min"/>
        <cfvo type="max"/>
        <color rgb="FFFCFCFF"/>
        <color rgb="FFF490D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2 inputs</vt:lpstr>
      <vt:lpstr>1 input</vt:lpstr>
      <vt:lpstr>'1 input'!base</vt:lpstr>
      <vt:lpstr>'2 inputs'!base</vt:lpstr>
      <vt:lpstr>'1 input'!bonus</vt:lpstr>
      <vt:lpstr>'2 inputs'!bonus</vt:lpstr>
      <vt:lpstr>'1 input'!bonuys</vt:lpstr>
      <vt:lpstr>'2 inputs'!bonuys</vt:lpstr>
      <vt:lpstr>'1 input'!raise</vt:lpstr>
      <vt:lpstr>'2 inputs'!raise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2026-06-10T02:03:17Z</dcterms:created>
  <dcterms:modified xsi:type="dcterms:W3CDTF">2026-06-10T02:28:25Z</dcterms:modified>
</cp:coreProperties>
</file>