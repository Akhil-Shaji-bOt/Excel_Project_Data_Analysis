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CBD9DB00-79C5-4C62-8ACA-A523E5ABE83D}" xr6:coauthVersionLast="47" xr6:coauthVersionMax="47" xr10:uidLastSave="{00000000-0000-0000-0000-000000000000}"/>
  <bookViews>
    <workbookView xWindow="-108" yWindow="-108" windowWidth="23256" windowHeight="12456" xr2:uid="{6994A6B8-773C-47D7-BA16-325E4BBE18E2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" i="2"/>
  <c r="AA2" i="2" a="1"/>
  <c r="AA2" i="2" s="1"/>
  <c r="Z2" i="2" a="1"/>
  <c r="Z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" i="2"/>
  <c r="T3" i="2"/>
  <c r="U3" i="2"/>
  <c r="V3" i="2"/>
  <c r="T4" i="2"/>
  <c r="U4" i="2"/>
  <c r="V4" i="2"/>
  <c r="T5" i="2"/>
  <c r="U5" i="2"/>
  <c r="V5" i="2"/>
  <c r="T6" i="2"/>
  <c r="X6" i="2" s="1"/>
  <c r="U6" i="2"/>
  <c r="V6" i="2"/>
  <c r="T7" i="2"/>
  <c r="U7" i="2"/>
  <c r="V7" i="2"/>
  <c r="T8" i="2"/>
  <c r="U8" i="2"/>
  <c r="V8" i="2"/>
  <c r="X8" i="2" s="1"/>
  <c r="T9" i="2"/>
  <c r="X9" i="2" s="1"/>
  <c r="U9" i="2"/>
  <c r="V9" i="2"/>
  <c r="T10" i="2"/>
  <c r="X10" i="2" s="1"/>
  <c r="U10" i="2"/>
  <c r="V10" i="2"/>
  <c r="T11" i="2"/>
  <c r="U11" i="2"/>
  <c r="V11" i="2"/>
  <c r="T12" i="2"/>
  <c r="U12" i="2"/>
  <c r="V12" i="2"/>
  <c r="T13" i="2"/>
  <c r="U13" i="2"/>
  <c r="V13" i="2"/>
  <c r="X13" i="2" s="1"/>
  <c r="T14" i="2"/>
  <c r="X14" i="2" s="1"/>
  <c r="U14" i="2"/>
  <c r="V14" i="2"/>
  <c r="T15" i="2"/>
  <c r="U15" i="2"/>
  <c r="V15" i="2"/>
  <c r="T16" i="2"/>
  <c r="U16" i="2"/>
  <c r="V16" i="2"/>
  <c r="T17" i="2"/>
  <c r="U17" i="2"/>
  <c r="V17" i="2"/>
  <c r="T18" i="2"/>
  <c r="X18" i="2" s="1"/>
  <c r="U18" i="2"/>
  <c r="V18" i="2"/>
  <c r="T19" i="2"/>
  <c r="U19" i="2"/>
  <c r="V19" i="2"/>
  <c r="T20" i="2"/>
  <c r="U20" i="2"/>
  <c r="V20" i="2"/>
  <c r="X20" i="2" s="1"/>
  <c r="T21" i="2"/>
  <c r="X21" i="2" s="1"/>
  <c r="U21" i="2"/>
  <c r="V21" i="2"/>
  <c r="X3" i="2"/>
  <c r="X4" i="2"/>
  <c r="X5" i="2"/>
  <c r="X7" i="2"/>
  <c r="X11" i="2"/>
  <c r="X12" i="2"/>
  <c r="X15" i="2"/>
  <c r="X16" i="2"/>
  <c r="X17" i="2"/>
  <c r="X19" i="2"/>
  <c r="X2" i="2"/>
  <c r="V2" i="2"/>
  <c r="U2" i="2"/>
  <c r="T2" i="2"/>
  <c r="P2" i="2"/>
  <c r="R2" i="2" s="1"/>
  <c r="J3" i="2"/>
  <c r="K3" i="2"/>
  <c r="L3" i="2"/>
  <c r="N3" i="2" s="1"/>
  <c r="J4" i="2"/>
  <c r="K4" i="2"/>
  <c r="L4" i="2"/>
  <c r="N4" i="2" s="1"/>
  <c r="J5" i="2"/>
  <c r="K5" i="2"/>
  <c r="L5" i="2"/>
  <c r="N5" i="2"/>
  <c r="J6" i="2"/>
  <c r="K6" i="2"/>
  <c r="L6" i="2"/>
  <c r="N6" i="2"/>
  <c r="J7" i="2"/>
  <c r="K7" i="2"/>
  <c r="L7" i="2"/>
  <c r="N7" i="2"/>
  <c r="J8" i="2"/>
  <c r="K8" i="2"/>
  <c r="L8" i="2"/>
  <c r="N8" i="2"/>
  <c r="J9" i="2"/>
  <c r="K9" i="2"/>
  <c r="L9" i="2"/>
  <c r="N9" i="2"/>
  <c r="J10" i="2"/>
  <c r="K10" i="2"/>
  <c r="L10" i="2"/>
  <c r="N10" i="2"/>
  <c r="J11" i="2"/>
  <c r="N11" i="2" s="1"/>
  <c r="K11" i="2"/>
  <c r="L11" i="2"/>
  <c r="J12" i="2"/>
  <c r="K12" i="2"/>
  <c r="L12" i="2"/>
  <c r="N12" i="2"/>
  <c r="J13" i="2"/>
  <c r="K13" i="2"/>
  <c r="L13" i="2"/>
  <c r="N13" i="2"/>
  <c r="J14" i="2"/>
  <c r="K14" i="2"/>
  <c r="L14" i="2"/>
  <c r="N14" i="2"/>
  <c r="J15" i="2"/>
  <c r="K15" i="2"/>
  <c r="L15" i="2"/>
  <c r="N15" i="2"/>
  <c r="J16" i="2"/>
  <c r="K16" i="2"/>
  <c r="L16" i="2"/>
  <c r="N16" i="2"/>
  <c r="J17" i="2"/>
  <c r="N17" i="2" s="1"/>
  <c r="K17" i="2"/>
  <c r="L17" i="2"/>
  <c r="J18" i="2"/>
  <c r="K18" i="2"/>
  <c r="L18" i="2"/>
  <c r="N18" i="2"/>
  <c r="J19" i="2"/>
  <c r="K19" i="2"/>
  <c r="L19" i="2"/>
  <c r="N19" i="2"/>
  <c r="J20" i="2"/>
  <c r="K20" i="2"/>
  <c r="L20" i="2"/>
  <c r="N20" i="2"/>
  <c r="J21" i="2"/>
  <c r="K21" i="2"/>
  <c r="L21" i="2"/>
  <c r="N21" i="2"/>
  <c r="N2" i="2"/>
  <c r="L2" i="2"/>
  <c r="K2" i="2"/>
  <c r="J2" i="2"/>
  <c r="R6" i="2" l="1"/>
  <c r="R11" i="2"/>
  <c r="R21" i="2"/>
  <c r="R5" i="2"/>
  <c r="R14" i="2"/>
  <c r="R12" i="2"/>
  <c r="R9" i="2"/>
  <c r="R8" i="2"/>
  <c r="R7" i="2"/>
  <c r="R18" i="2"/>
  <c r="R17" i="2"/>
  <c r="R13" i="2"/>
  <c r="R10" i="2"/>
  <c r="R20" i="2"/>
  <c r="R19" i="2"/>
  <c r="R16" i="2"/>
  <c r="R4" i="2"/>
  <c r="R15" i="2"/>
  <c r="R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<sst xmlns="http://schemas.openxmlformats.org/spreadsheetml/2006/main" count="161" uniqueCount="96">
  <si>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</si>
  <si>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</si>
  <si>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</si>
  <si>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</si>
  <si>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</si>
  <si>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</si>
  <si>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</si>
  <si>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</si>
  <si>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Month</t>
  </si>
  <si>
    <t>Day</t>
  </si>
  <si>
    <t>Year</t>
  </si>
  <si>
    <t>Application Date</t>
  </si>
  <si>
    <t>Today</t>
  </si>
  <si>
    <t>Days Since Applied</t>
  </si>
  <si>
    <t>Hour</t>
  </si>
  <si>
    <t>Minute</t>
  </si>
  <si>
    <t>Second</t>
  </si>
  <si>
    <t>Application Time</t>
  </si>
  <si>
    <t>Hours in a Day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</si>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</sst>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2" borderId="0" xfId="0" applyFont="1" applyFill="1"/>
    <xf numFmtId="0" fontId="0" fillId="2" borderId="0" xfId="0" applyFill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14" fontId="0" fillId="0" borderId="0" xfId="0" applyNumberFormat="1"/>
    <xf numFmtId="18" fontId="0" fillId="0" borderId="0" xfId="0" applyNumberFormat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</a:t>
            </a:r>
            <a:r>
              <a:rPr lang="en-US" baseline="0"/>
              <a:t>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5-4008-A0C3-0648A1B43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202064"/>
        <c:axId val="563203024"/>
      </c:barChart>
      <c:catAx>
        <c:axId val="5632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03024"/>
        <c:crosses val="autoZero"/>
        <c:auto val="1"/>
        <c:lblAlgn val="ctr"/>
        <c:lblOffset val="100"/>
        <c:noMultiLvlLbl val="0"/>
      </c:catAx>
      <c:valAx>
        <c:axId val="5632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259080</xdr:colOff>
      <xdr:row>1</xdr:row>
      <xdr:rowOff>72390</xdr:rowOff>
    </xdr:from>
    <xdr:to>
      <xdr:col>38</xdr:col>
      <xdr:colOff>563880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7335B-9DA2-45EE-37B6-98A11558F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DEB3-8A07-40E1-91D1-15D53F288D60}">
  <dimension ref="A1:AB25"/>
  <sheetViews>
    <sheetView tabSelected="1" topLeftCell="T1" workbookViewId="0">
      <selection activeCell="M1" sqref="M1:V1048576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12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4.21875" customWidth="1"/>
    <col min="15" max="15" width="8.88671875" customWidth="1"/>
    <col min="16" max="16" width="9.5546875" bestFit="1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6" t="s">
        <v>8</v>
      </c>
      <c r="K1" s="6" t="s">
        <v>9</v>
      </c>
      <c r="L1" s="6" t="s">
        <v>10</v>
      </c>
      <c r="N1" s="6" t="s">
        <v>11</v>
      </c>
      <c r="P1" s="6" t="s">
        <v>12</v>
      </c>
      <c r="R1" s="6" t="s">
        <v>13</v>
      </c>
      <c r="T1" s="6" t="s">
        <v>14</v>
      </c>
      <c r="U1" s="6" t="s">
        <v>15</v>
      </c>
      <c r="V1" s="6" t="s">
        <v>16</v>
      </c>
      <c r="X1" s="6" t="s">
        <v>17</v>
      </c>
      <c r="Y1" s="6" t="s">
        <v>17</v>
      </c>
      <c r="Z1" s="6" t="s">
        <v>95</v>
      </c>
      <c r="AA1" s="6" t="s">
        <v>18</v>
      </c>
      <c r="AB1" s="7"/>
    </row>
    <row r="2" spans="1:28" x14ac:dyDescent="0.3">
      <c r="A2" s="8" t="s">
        <v>19</v>
      </c>
      <c r="B2" s="9" t="s">
        <v>20</v>
      </c>
      <c r="C2" s="9" t="s">
        <v>21</v>
      </c>
      <c r="D2" s="10">
        <v>44971.640451388892</v>
      </c>
      <c r="E2" s="9" t="s">
        <v>22</v>
      </c>
      <c r="F2" s="9" t="s">
        <v>23</v>
      </c>
      <c r="G2" s="9" t="s">
        <v>24</v>
      </c>
      <c r="H2" s="11" t="s">
        <v>25</v>
      </c>
      <c r="J2">
        <f>MONTH(D2)</f>
        <v>2</v>
      </c>
      <c r="K2">
        <f>DAY(D2)</f>
        <v>14</v>
      </c>
      <c r="L2">
        <f>YEAR(D2)</f>
        <v>2023</v>
      </c>
      <c r="N2" s="12">
        <f>DATE(L2,J2,K2)</f>
        <v>44971</v>
      </c>
      <c r="P2" s="12">
        <f ca="1">TODAY()</f>
        <v>46170</v>
      </c>
      <c r="R2">
        <f ca="1">DATEDIF(N2,$P$2,"D")</f>
        <v>1199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HOUR(Y2:Y21)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8" t="s">
        <v>26</v>
      </c>
      <c r="B3" s="9" t="s">
        <v>27</v>
      </c>
      <c r="C3" s="9" t="s">
        <v>28</v>
      </c>
      <c r="D3" s="10">
        <v>45055.40662037037</v>
      </c>
      <c r="E3" s="9" t="s">
        <v>29</v>
      </c>
      <c r="F3" s="9" t="s">
        <v>30</v>
      </c>
      <c r="G3" s="9" t="s">
        <v>31</v>
      </c>
      <c r="H3" s="11" t="s">
        <v>32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12">
        <f t="shared" ref="N3:N21" si="3">DATE(L3,J3,K3)</f>
        <v>45055</v>
      </c>
      <c r="R3">
        <f t="shared" ref="R3:R21" ca="1" si="4">DATEDIF(N3,$P$2,"D")</f>
        <v>1115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8" t="s">
        <v>33</v>
      </c>
      <c r="B4" s="9" t="s">
        <v>34</v>
      </c>
      <c r="C4" s="9" t="s">
        <v>35</v>
      </c>
      <c r="D4" s="10">
        <v>45128.729710648149</v>
      </c>
      <c r="E4" s="9" t="s">
        <v>36</v>
      </c>
      <c r="F4" s="9" t="s">
        <v>37</v>
      </c>
      <c r="G4" s="9" t="s">
        <v>31</v>
      </c>
      <c r="H4" s="11" t="s">
        <v>38</v>
      </c>
      <c r="J4">
        <f t="shared" si="0"/>
        <v>7</v>
      </c>
      <c r="K4">
        <f t="shared" si="1"/>
        <v>21</v>
      </c>
      <c r="L4">
        <f t="shared" si="2"/>
        <v>2023</v>
      </c>
      <c r="N4" s="12">
        <f t="shared" si="3"/>
        <v>45128</v>
      </c>
      <c r="R4">
        <f t="shared" ca="1" si="4"/>
        <v>1042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">
      <c r="A5" s="8" t="s">
        <v>39</v>
      </c>
      <c r="B5" s="9" t="s">
        <v>20</v>
      </c>
      <c r="C5" s="9" t="s">
        <v>28</v>
      </c>
      <c r="D5" s="10">
        <v>45173.302187499998</v>
      </c>
      <c r="E5" s="9" t="s">
        <v>22</v>
      </c>
      <c r="F5" s="9" t="s">
        <v>23</v>
      </c>
      <c r="G5" s="9" t="s">
        <v>24</v>
      </c>
      <c r="H5" s="11" t="s">
        <v>25</v>
      </c>
      <c r="J5">
        <f t="shared" si="0"/>
        <v>9</v>
      </c>
      <c r="K5">
        <f t="shared" si="1"/>
        <v>4</v>
      </c>
      <c r="L5">
        <f t="shared" si="2"/>
        <v>2023</v>
      </c>
      <c r="N5" s="12">
        <f t="shared" si="3"/>
        <v>45173</v>
      </c>
      <c r="R5">
        <f t="shared" ca="1" si="4"/>
        <v>997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">
      <c r="A6" s="8" t="s">
        <v>40</v>
      </c>
      <c r="B6" s="9" t="s">
        <v>41</v>
      </c>
      <c r="C6" s="9" t="s">
        <v>42</v>
      </c>
      <c r="D6" s="10">
        <v>45248.70857638889</v>
      </c>
      <c r="E6" s="9" t="s">
        <v>43</v>
      </c>
      <c r="F6" s="9" t="s">
        <v>44</v>
      </c>
      <c r="G6" s="9" t="s">
        <v>45</v>
      </c>
      <c r="H6" s="11" t="s">
        <v>46</v>
      </c>
      <c r="J6">
        <f t="shared" si="0"/>
        <v>11</v>
      </c>
      <c r="K6">
        <f t="shared" si="1"/>
        <v>18</v>
      </c>
      <c r="L6">
        <f t="shared" si="2"/>
        <v>2023</v>
      </c>
      <c r="N6" s="12">
        <f t="shared" si="3"/>
        <v>45248</v>
      </c>
      <c r="R6">
        <f t="shared" ca="1" si="4"/>
        <v>922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">
      <c r="A7" s="8" t="s">
        <v>47</v>
      </c>
      <c r="B7" s="9" t="s">
        <v>48</v>
      </c>
      <c r="C7" s="9" t="s">
        <v>49</v>
      </c>
      <c r="D7" s="10">
        <v>45302.531921296293</v>
      </c>
      <c r="E7" s="9" t="s">
        <v>50</v>
      </c>
      <c r="F7" s="9" t="s">
        <v>51</v>
      </c>
      <c r="G7" s="9" t="s">
        <v>45</v>
      </c>
      <c r="H7" s="11" t="s">
        <v>52</v>
      </c>
      <c r="J7">
        <f t="shared" si="0"/>
        <v>1</v>
      </c>
      <c r="K7">
        <f t="shared" si="1"/>
        <v>11</v>
      </c>
      <c r="L7">
        <f t="shared" si="2"/>
        <v>2024</v>
      </c>
      <c r="N7" s="12">
        <f t="shared" si="3"/>
        <v>45302</v>
      </c>
      <c r="R7">
        <f t="shared" ca="1" si="4"/>
        <v>868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">
      <c r="A8" s="8" t="s">
        <v>53</v>
      </c>
      <c r="B8" s="9" t="s">
        <v>34</v>
      </c>
      <c r="C8" s="9" t="s">
        <v>28</v>
      </c>
      <c r="D8" s="10">
        <v>45354.687881944446</v>
      </c>
      <c r="E8" s="9" t="s">
        <v>36</v>
      </c>
      <c r="F8" s="9" t="s">
        <v>37</v>
      </c>
      <c r="G8" s="9" t="s">
        <v>31</v>
      </c>
      <c r="H8" s="11" t="s">
        <v>38</v>
      </c>
      <c r="J8">
        <f t="shared" si="0"/>
        <v>3</v>
      </c>
      <c r="K8">
        <f t="shared" si="1"/>
        <v>3</v>
      </c>
      <c r="L8">
        <f t="shared" si="2"/>
        <v>2024</v>
      </c>
      <c r="N8" s="12">
        <f t="shared" si="3"/>
        <v>45354</v>
      </c>
      <c r="R8">
        <f t="shared" ca="1" si="4"/>
        <v>816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">
      <c r="A9" s="8" t="s">
        <v>54</v>
      </c>
      <c r="B9" s="9" t="s">
        <v>48</v>
      </c>
      <c r="C9" s="9" t="s">
        <v>21</v>
      </c>
      <c r="D9" s="10">
        <v>45408.340810185182</v>
      </c>
      <c r="E9" s="9" t="s">
        <v>50</v>
      </c>
      <c r="F9" s="9" t="s">
        <v>51</v>
      </c>
      <c r="G9" s="9" t="s">
        <v>45</v>
      </c>
      <c r="H9" s="11" t="s">
        <v>52</v>
      </c>
      <c r="J9">
        <f t="shared" si="0"/>
        <v>4</v>
      </c>
      <c r="K9">
        <f t="shared" si="1"/>
        <v>26</v>
      </c>
      <c r="L9">
        <f t="shared" si="2"/>
        <v>2024</v>
      </c>
      <c r="N9" s="12">
        <f t="shared" si="3"/>
        <v>45408</v>
      </c>
      <c r="R9">
        <f t="shared" ca="1" si="4"/>
        <v>762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">
      <c r="A10" s="8" t="s">
        <v>55</v>
      </c>
      <c r="B10" s="9" t="s">
        <v>56</v>
      </c>
      <c r="C10" s="9" t="s">
        <v>42</v>
      </c>
      <c r="D10" s="10">
        <v>45458.743333333332</v>
      </c>
      <c r="E10" s="9" t="s">
        <v>57</v>
      </c>
      <c r="F10" s="9" t="s">
        <v>58</v>
      </c>
      <c r="G10" s="9" t="s">
        <v>31</v>
      </c>
      <c r="H10" s="11" t="s">
        <v>59</v>
      </c>
      <c r="J10">
        <f t="shared" si="0"/>
        <v>6</v>
      </c>
      <c r="K10">
        <f t="shared" si="1"/>
        <v>15</v>
      </c>
      <c r="L10">
        <f t="shared" si="2"/>
        <v>2024</v>
      </c>
      <c r="N10" s="12">
        <f t="shared" si="3"/>
        <v>45458</v>
      </c>
      <c r="R10">
        <f t="shared" ca="1" si="4"/>
        <v>712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">
      <c r="A11" s="8" t="s">
        <v>60</v>
      </c>
      <c r="B11" s="9" t="s">
        <v>61</v>
      </c>
      <c r="C11" s="9" t="s">
        <v>35</v>
      </c>
      <c r="D11" s="10">
        <v>45480.608055555553</v>
      </c>
      <c r="E11" s="9" t="s">
        <v>62</v>
      </c>
      <c r="F11" s="9" t="s">
        <v>58</v>
      </c>
      <c r="G11" s="9" t="s">
        <v>63</v>
      </c>
      <c r="H11" s="11" t="s">
        <v>64</v>
      </c>
      <c r="J11">
        <f t="shared" si="0"/>
        <v>7</v>
      </c>
      <c r="K11">
        <f t="shared" si="1"/>
        <v>7</v>
      </c>
      <c r="L11">
        <f t="shared" si="2"/>
        <v>2024</v>
      </c>
      <c r="N11" s="12">
        <f t="shared" si="3"/>
        <v>45480</v>
      </c>
      <c r="R11">
        <f t="shared" ca="1" si="4"/>
        <v>690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">
      <c r="A12" s="8" t="s">
        <v>65</v>
      </c>
      <c r="B12" s="9" t="s">
        <v>66</v>
      </c>
      <c r="C12" s="9" t="s">
        <v>42</v>
      </c>
      <c r="D12" s="10">
        <v>45455.284930555557</v>
      </c>
      <c r="E12" s="9" t="s">
        <v>67</v>
      </c>
      <c r="F12" s="9" t="s">
        <v>58</v>
      </c>
      <c r="G12" s="9" t="s">
        <v>68</v>
      </c>
      <c r="H12" s="11" t="s">
        <v>69</v>
      </c>
      <c r="J12">
        <f t="shared" si="0"/>
        <v>6</v>
      </c>
      <c r="K12">
        <f t="shared" si="1"/>
        <v>12</v>
      </c>
      <c r="L12">
        <f t="shared" si="2"/>
        <v>2024</v>
      </c>
      <c r="N12" s="12">
        <f t="shared" si="3"/>
        <v>45455</v>
      </c>
      <c r="R12">
        <f t="shared" ca="1" si="4"/>
        <v>715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">
      <c r="A13" s="8" t="s">
        <v>70</v>
      </c>
      <c r="B13" s="9" t="s">
        <v>71</v>
      </c>
      <c r="C13" s="9" t="s">
        <v>49</v>
      </c>
      <c r="D13" s="10">
        <v>44951.552141203705</v>
      </c>
      <c r="E13" s="9" t="s">
        <v>72</v>
      </c>
      <c r="F13" s="9" t="s">
        <v>73</v>
      </c>
      <c r="G13" s="9" t="s">
        <v>31</v>
      </c>
      <c r="H13" s="11" t="s">
        <v>74</v>
      </c>
      <c r="J13">
        <f t="shared" si="0"/>
        <v>1</v>
      </c>
      <c r="K13">
        <f t="shared" si="1"/>
        <v>25</v>
      </c>
      <c r="L13">
        <f t="shared" si="2"/>
        <v>2023</v>
      </c>
      <c r="N13" s="12">
        <f t="shared" si="3"/>
        <v>44951</v>
      </c>
      <c r="R13">
        <f t="shared" ca="1" si="4"/>
        <v>1219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">
      <c r="A14" s="8" t="s">
        <v>75</v>
      </c>
      <c r="B14" s="9" t="s">
        <v>48</v>
      </c>
      <c r="C14" s="9" t="s">
        <v>35</v>
      </c>
      <c r="D14" s="10">
        <v>45002.490034722221</v>
      </c>
      <c r="E14" s="9" t="s">
        <v>50</v>
      </c>
      <c r="F14" s="9" t="s">
        <v>51</v>
      </c>
      <c r="G14" s="9" t="s">
        <v>45</v>
      </c>
      <c r="H14" s="11" t="s">
        <v>52</v>
      </c>
      <c r="J14">
        <f t="shared" si="0"/>
        <v>3</v>
      </c>
      <c r="K14">
        <f t="shared" si="1"/>
        <v>17</v>
      </c>
      <c r="L14">
        <f t="shared" si="2"/>
        <v>2023</v>
      </c>
      <c r="N14" s="12">
        <f t="shared" si="3"/>
        <v>45002</v>
      </c>
      <c r="R14">
        <f t="shared" ca="1" si="4"/>
        <v>1168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">
      <c r="A15" s="8" t="s">
        <v>76</v>
      </c>
      <c r="B15" s="9" t="s">
        <v>77</v>
      </c>
      <c r="C15" s="9" t="s">
        <v>49</v>
      </c>
      <c r="D15" s="10">
        <v>45078.417256944442</v>
      </c>
      <c r="E15" s="9" t="s">
        <v>78</v>
      </c>
      <c r="F15" s="9" t="s">
        <v>58</v>
      </c>
      <c r="G15" s="9" t="s">
        <v>31</v>
      </c>
      <c r="H15" s="11" t="s">
        <v>79</v>
      </c>
      <c r="J15">
        <f t="shared" si="0"/>
        <v>6</v>
      </c>
      <c r="K15">
        <f t="shared" si="1"/>
        <v>1</v>
      </c>
      <c r="L15">
        <f t="shared" si="2"/>
        <v>2023</v>
      </c>
      <c r="N15" s="12">
        <f t="shared" si="3"/>
        <v>45078</v>
      </c>
      <c r="R15">
        <f t="shared" ca="1" si="4"/>
        <v>1092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">
      <c r="A16" s="8" t="s">
        <v>80</v>
      </c>
      <c r="B16" s="9" t="s">
        <v>81</v>
      </c>
      <c r="C16" s="9" t="s">
        <v>49</v>
      </c>
      <c r="D16" s="10">
        <v>45168.729328703703</v>
      </c>
      <c r="E16" s="9" t="s">
        <v>82</v>
      </c>
      <c r="F16" s="9" t="s">
        <v>83</v>
      </c>
      <c r="G16" s="9" t="s">
        <v>31</v>
      </c>
      <c r="H16" s="11" t="s">
        <v>84</v>
      </c>
      <c r="J16">
        <f t="shared" si="0"/>
        <v>8</v>
      </c>
      <c r="K16">
        <f t="shared" si="1"/>
        <v>30</v>
      </c>
      <c r="L16">
        <f t="shared" si="2"/>
        <v>2023</v>
      </c>
      <c r="N16" s="12">
        <f t="shared" si="3"/>
        <v>45168</v>
      </c>
      <c r="R16">
        <f t="shared" ca="1" si="4"/>
        <v>1002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">
      <c r="A17" s="8" t="s">
        <v>85</v>
      </c>
      <c r="B17" s="9" t="s">
        <v>27</v>
      </c>
      <c r="C17" s="9" t="s">
        <v>42</v>
      </c>
      <c r="D17" s="10">
        <v>45218.319780092592</v>
      </c>
      <c r="E17" s="9" t="s">
        <v>29</v>
      </c>
      <c r="F17" s="9" t="s">
        <v>30</v>
      </c>
      <c r="G17" s="9" t="s">
        <v>86</v>
      </c>
      <c r="H17" s="11" t="s">
        <v>32</v>
      </c>
      <c r="J17">
        <f t="shared" si="0"/>
        <v>10</v>
      </c>
      <c r="K17">
        <f t="shared" si="1"/>
        <v>19</v>
      </c>
      <c r="L17">
        <f t="shared" si="2"/>
        <v>2023</v>
      </c>
      <c r="N17" s="12">
        <f t="shared" si="3"/>
        <v>45218</v>
      </c>
      <c r="R17">
        <f t="shared" ca="1" si="4"/>
        <v>952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">
      <c r="A18" s="8" t="s">
        <v>87</v>
      </c>
      <c r="B18" s="9" t="s">
        <v>41</v>
      </c>
      <c r="C18" s="9" t="s">
        <v>35</v>
      </c>
      <c r="D18" s="10">
        <v>45350.719236111108</v>
      </c>
      <c r="E18" s="9" t="s">
        <v>43</v>
      </c>
      <c r="F18" s="9" t="s">
        <v>44</v>
      </c>
      <c r="G18" s="9" t="s">
        <v>45</v>
      </c>
      <c r="H18" s="11" t="s">
        <v>46</v>
      </c>
      <c r="J18">
        <f t="shared" si="0"/>
        <v>2</v>
      </c>
      <c r="K18">
        <f t="shared" si="1"/>
        <v>28</v>
      </c>
      <c r="L18">
        <f t="shared" si="2"/>
        <v>2024</v>
      </c>
      <c r="N18" s="12">
        <f t="shared" si="3"/>
        <v>45350</v>
      </c>
      <c r="R18">
        <f t="shared" ca="1" si="4"/>
        <v>820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">
      <c r="A19" s="8" t="s">
        <v>88</v>
      </c>
      <c r="B19" s="9" t="s">
        <v>89</v>
      </c>
      <c r="C19" s="9" t="s">
        <v>42</v>
      </c>
      <c r="D19" s="10">
        <v>45418.726354166669</v>
      </c>
      <c r="E19" s="9" t="s">
        <v>90</v>
      </c>
      <c r="F19" s="9" t="s">
        <v>83</v>
      </c>
      <c r="G19" s="9" t="s">
        <v>91</v>
      </c>
      <c r="H19" s="11" t="s">
        <v>92</v>
      </c>
      <c r="J19">
        <f t="shared" si="0"/>
        <v>5</v>
      </c>
      <c r="K19">
        <f t="shared" si="1"/>
        <v>6</v>
      </c>
      <c r="L19">
        <f t="shared" si="2"/>
        <v>2024</v>
      </c>
      <c r="N19" s="12">
        <f t="shared" si="3"/>
        <v>45418</v>
      </c>
      <c r="R19">
        <f t="shared" ca="1" si="4"/>
        <v>752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">
      <c r="A20" s="8" t="s">
        <v>93</v>
      </c>
      <c r="B20" s="9" t="s">
        <v>41</v>
      </c>
      <c r="C20" s="9" t="s">
        <v>49</v>
      </c>
      <c r="D20" s="10">
        <v>45496.291701388887</v>
      </c>
      <c r="E20" s="9" t="s">
        <v>43</v>
      </c>
      <c r="F20" s="9" t="s">
        <v>44</v>
      </c>
      <c r="G20" s="9" t="s">
        <v>45</v>
      </c>
      <c r="H20" s="11" t="s">
        <v>46</v>
      </c>
      <c r="J20">
        <f t="shared" si="0"/>
        <v>7</v>
      </c>
      <c r="K20">
        <f t="shared" si="1"/>
        <v>23</v>
      </c>
      <c r="L20">
        <f t="shared" si="2"/>
        <v>2024</v>
      </c>
      <c r="N20" s="12">
        <f t="shared" si="3"/>
        <v>45496</v>
      </c>
      <c r="R20">
        <f t="shared" ca="1" si="4"/>
        <v>674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8" t="s">
        <v>94</v>
      </c>
      <c r="B21" s="14" t="s">
        <v>41</v>
      </c>
      <c r="C21" s="14" t="s">
        <v>49</v>
      </c>
      <c r="D21" s="15">
        <v>45422.739884259259</v>
      </c>
      <c r="E21" s="14" t="s">
        <v>43</v>
      </c>
      <c r="F21" s="14" t="s">
        <v>44</v>
      </c>
      <c r="G21" s="14" t="s">
        <v>91</v>
      </c>
      <c r="H21" s="16" t="s">
        <v>46</v>
      </c>
      <c r="J21">
        <f t="shared" si="0"/>
        <v>5</v>
      </c>
      <c r="K21">
        <f t="shared" si="1"/>
        <v>10</v>
      </c>
      <c r="L21">
        <f t="shared" si="2"/>
        <v>2024</v>
      </c>
      <c r="N21" s="12">
        <f t="shared" si="3"/>
        <v>45422</v>
      </c>
      <c r="R21">
        <f t="shared" ca="1" si="4"/>
        <v>748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E66F-8C8E-49E2-853C-B2F9487521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2026-05-28T03:53:23Z</dcterms:created>
  <dcterms:modified xsi:type="dcterms:W3CDTF">2026-05-28T04:10:34Z</dcterms:modified>
</cp:coreProperties>
</file>