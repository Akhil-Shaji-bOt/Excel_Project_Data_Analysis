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13_ncr:1_{8AE0606D-A03E-44BB-884B-A6A29EDFBC0C}" xr6:coauthVersionLast="47" xr6:coauthVersionMax="47" xr10:uidLastSave="{00000000-0000-0000-0000-000000000000}"/>
  <bookViews>
    <workbookView xWindow="-108" yWindow="-108" windowWidth="23256" windowHeight="12456" xr2:uid="{FD7E6C23-794B-4EE8-BCD7-DF8198DFAB44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I3" i="2" s="1"/>
  <c r="J3" i="2" s="1"/>
  <c r="G3" i="2"/>
  <c r="L3" i="2"/>
  <c r="K3" i="2"/>
  <c r="N3" i="2"/>
  <c r="O3" i="2" s="1"/>
  <c r="N9" i="2"/>
  <c r="O9" i="2" s="1"/>
  <c r="N10" i="2"/>
  <c r="O10" i="2" s="1"/>
  <c r="M4" i="2"/>
  <c r="M5" i="2"/>
  <c r="M6" i="2"/>
  <c r="M7" i="2"/>
  <c r="M8" i="2"/>
  <c r="M9" i="2"/>
  <c r="M10" i="2"/>
  <c r="M11" i="2"/>
  <c r="M12" i="2"/>
  <c r="M3" i="2"/>
  <c r="L5" i="2"/>
  <c r="N5" i="2" s="1"/>
  <c r="O5" i="2" s="1"/>
  <c r="L4" i="2"/>
  <c r="N4" i="2" s="1"/>
  <c r="O4" i="2" s="1"/>
  <c r="L6" i="2"/>
  <c r="N6" i="2" s="1"/>
  <c r="O6" i="2" s="1"/>
  <c r="L7" i="2"/>
  <c r="N7" i="2" s="1"/>
  <c r="O7" i="2" s="1"/>
  <c r="L8" i="2"/>
  <c r="N8" i="2" s="1"/>
  <c r="O8" i="2" s="1"/>
  <c r="L9" i="2"/>
  <c r="L10" i="2"/>
  <c r="L11" i="2"/>
  <c r="N11" i="2" s="1"/>
  <c r="O11" i="2" s="1"/>
  <c r="L12" i="2"/>
  <c r="N12" i="2" s="1"/>
  <c r="O12" i="2" s="1"/>
  <c r="K4" i="2"/>
  <c r="K5" i="2"/>
  <c r="K6" i="2"/>
  <c r="K7" i="2"/>
  <c r="K8" i="2"/>
  <c r="K9" i="2"/>
  <c r="K10" i="2"/>
  <c r="K11" i="2"/>
  <c r="K12" i="2"/>
  <c r="J4" i="2"/>
  <c r="J5" i="2"/>
  <c r="J6" i="2"/>
  <c r="J7" i="2"/>
  <c r="J8" i="2"/>
  <c r="J9" i="2"/>
  <c r="J10" i="2"/>
  <c r="J11" i="2"/>
  <c r="J12" i="2"/>
  <c r="I4" i="2"/>
  <c r="I5" i="2"/>
  <c r="I6" i="2"/>
  <c r="I7" i="2"/>
  <c r="I8" i="2"/>
  <c r="I9" i="2"/>
  <c r="I10" i="2"/>
  <c r="I11" i="2"/>
  <c r="I12" i="2"/>
  <c r="H4" i="2"/>
  <c r="H5" i="2"/>
  <c r="H6" i="2"/>
  <c r="H7" i="2"/>
  <c r="H8" i="2"/>
  <c r="H9" i="2"/>
  <c r="H10" i="2"/>
  <c r="H11" i="2"/>
  <c r="H12" i="2"/>
  <c r="G4" i="2"/>
  <c r="G5" i="2"/>
  <c r="G6" i="2"/>
  <c r="G7" i="2"/>
  <c r="G8" i="2"/>
  <c r="G9" i="2"/>
  <c r="G10" i="2"/>
  <c r="G11" i="2"/>
  <c r="G12" i="2"/>
  <c r="F4" i="2"/>
  <c r="F5" i="2"/>
  <c r="F6" i="2"/>
  <c r="F7" i="2"/>
  <c r="F8" i="2"/>
  <c r="F9" i="2"/>
  <c r="F10" i="2"/>
  <c r="F11" i="2"/>
  <c r="F12" i="2"/>
  <c r="F3" i="2"/>
</calcChain>
</file>

<file path=xl/sharedStrings.xml><?xml version="1.0" encoding="utf-8"?>
<sst xmlns="http://schemas.openxmlformats.org/spreadsheetml/2006/main" count="27" uniqueCount="27">
  <si>
    <t>Total Salary (&gt;=)</t>
  </si>
  <si>
    <t>Experience (&lt;=)</t>
  </si>
  <si>
    <t>Job Goals:</t>
  </si>
  <si>
    <t>Big Data Engineer</t>
  </si>
  <si>
    <t>AI Specialist</t>
  </si>
  <si>
    <t>Research Scientist</t>
  </si>
  <si>
    <t>Data Architect</t>
  </si>
  <si>
    <t>Statistician</t>
  </si>
  <si>
    <t>Data Engineer</t>
  </si>
  <si>
    <t>Business Intelligence Dev</t>
  </si>
  <si>
    <t>Data Analyst</t>
  </si>
  <si>
    <t>Machine Learning Engineer</t>
  </si>
  <si>
    <t>Data Scientist</t>
  </si>
  <si>
    <t>Meets Both</t>
  </si>
  <si>
    <t>Meets Both (1 or 0)</t>
  </si>
  <si>
    <t>Meets Salary</t>
  </si>
  <si>
    <t>Meets Experience</t>
  </si>
  <si>
    <t>Is Bonus &gt; Annual Salary?</t>
  </si>
  <si>
    <t>Does Total Salary = Confirmed Salary?</t>
  </si>
  <si>
    <t>Confirm Total Salary</t>
  </si>
  <si>
    <t>Bonus Rate (/)</t>
  </si>
  <si>
    <t>Total Salary (+)</t>
  </si>
  <si>
    <t>Experience (=)</t>
  </si>
  <si>
    <t>Bonus Max ($USD)</t>
  </si>
  <si>
    <t>Annual Salary ($USD)</t>
  </si>
  <si>
    <t xml:space="preserve"> Experience (Years)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</si>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</sst>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4" fillId="0" borderId="0" xfId="0" applyFont="1"/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164" fontId="2" fillId="0" borderId="0" xfId="1" applyNumberFormat="1" applyFont="1"/>
    <xf numFmtId="0" fontId="2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7CEC-C73C-461E-913C-DFD8007E210E}">
  <dimension ref="B1:O16"/>
  <sheetViews>
    <sheetView tabSelected="1" zoomScale="120" zoomScaleNormal="120" workbookViewId="0">
      <selection activeCell="M3" sqref="M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2.88671875" style="1" bestFit="1" customWidth="1"/>
    <col min="7" max="7" width="13.6640625" style="1" bestFit="1" customWidth="1"/>
    <col min="8" max="8" width="10.88671875" style="1" customWidth="1"/>
    <col min="9" max="9" width="12.77734375" style="1" customWidth="1"/>
    <col min="10" max="10" width="19" style="1" customWidth="1"/>
    <col min="11" max="11" width="16.33203125" style="1" customWidth="1"/>
    <col min="12" max="12" width="11.44140625" style="1" customWidth="1"/>
    <col min="13" max="13" width="9" style="1" customWidth="1"/>
    <col min="14" max="14" width="11.33203125" style="1" customWidth="1"/>
    <col min="15" max="16384" width="9" style="1"/>
  </cols>
  <sheetData>
    <row r="1" spans="2:15" ht="15" thickBot="1" x14ac:dyDescent="0.35"/>
    <row r="2" spans="2:15" ht="27.75" customHeight="1" x14ac:dyDescent="0.3">
      <c r="B2" s="16" t="s">
        <v>26</v>
      </c>
      <c r="C2" s="15" t="s">
        <v>25</v>
      </c>
      <c r="D2" s="15" t="s">
        <v>24</v>
      </c>
      <c r="E2" s="14" t="s">
        <v>23</v>
      </c>
      <c r="F2" s="13" t="s">
        <v>22</v>
      </c>
      <c r="G2" s="13" t="s">
        <v>21</v>
      </c>
      <c r="H2" s="13" t="s">
        <v>20</v>
      </c>
      <c r="I2" s="13" t="s">
        <v>19</v>
      </c>
      <c r="J2" s="13" t="s">
        <v>18</v>
      </c>
      <c r="K2" s="13" t="s">
        <v>17</v>
      </c>
      <c r="L2" s="13" t="s">
        <v>16</v>
      </c>
      <c r="M2" s="13" t="s">
        <v>15</v>
      </c>
      <c r="N2" s="13" t="s">
        <v>14</v>
      </c>
      <c r="O2" s="13" t="s">
        <v>13</v>
      </c>
    </row>
    <row r="3" spans="2:15" x14ac:dyDescent="0.3">
      <c r="B3" s="12" t="s">
        <v>12</v>
      </c>
      <c r="C3" s="11">
        <v>5</v>
      </c>
      <c r="D3" s="11">
        <v>120000</v>
      </c>
      <c r="E3" s="10">
        <v>10000</v>
      </c>
      <c r="F3" s="1">
        <f>C3</f>
        <v>5</v>
      </c>
      <c r="G3" s="1">
        <f>D3+E3</f>
        <v>130000</v>
      </c>
      <c r="H3" s="17">
        <f>E3/D3</f>
        <v>8.3333333333333329E-2</v>
      </c>
      <c r="I3" s="1">
        <f>D3*H3+D3</f>
        <v>130000</v>
      </c>
      <c r="J3" s="1" t="b">
        <f>G3=I3</f>
        <v>1</v>
      </c>
      <c r="K3" s="18" t="b">
        <f>E3&gt;D3</f>
        <v>0</v>
      </c>
      <c r="L3" s="1" t="b">
        <f>$C$15&lt;=C3</f>
        <v>0</v>
      </c>
      <c r="M3" s="1" t="b">
        <f>$D3&gt;=$C$16</f>
        <v>1</v>
      </c>
      <c r="N3" s="1">
        <f>L3*M3</f>
        <v>0</v>
      </c>
      <c r="O3" s="1" t="b">
        <f>N3=1</f>
        <v>0</v>
      </c>
    </row>
    <row r="4" spans="2:15" x14ac:dyDescent="0.3">
      <c r="B4" s="12" t="s">
        <v>11</v>
      </c>
      <c r="C4" s="11">
        <v>4</v>
      </c>
      <c r="D4" s="11">
        <v>135000</v>
      </c>
      <c r="E4" s="10">
        <v>12000</v>
      </c>
      <c r="F4" s="1">
        <f t="shared" ref="F4:F12" si="0">C4</f>
        <v>4</v>
      </c>
      <c r="G4" s="1">
        <f t="shared" ref="G4:G12" si="1">D4+E4</f>
        <v>147000</v>
      </c>
      <c r="H4" s="17">
        <f t="shared" ref="H4:H12" si="2">E4/D4</f>
        <v>8.8888888888888892E-2</v>
      </c>
      <c r="I4" s="1">
        <f t="shared" ref="I4:I12" si="3">D4*H4+D4</f>
        <v>147000</v>
      </c>
      <c r="J4" s="1" t="b">
        <f t="shared" ref="J4:J12" si="4">G4=I4</f>
        <v>1</v>
      </c>
      <c r="K4" s="18" t="b">
        <f t="shared" ref="K4:K12" si="5">E4&gt;D4</f>
        <v>0</v>
      </c>
      <c r="L4" s="1" t="b">
        <f>$C$15&lt;=C4</f>
        <v>0</v>
      </c>
      <c r="M4" s="1" t="b">
        <f t="shared" ref="M4:M12" si="6">$D4&gt;=$C$16</f>
        <v>1</v>
      </c>
      <c r="N4" s="1">
        <f t="shared" ref="N4:N12" si="7">L4*M4</f>
        <v>0</v>
      </c>
      <c r="O4" s="1" t="b">
        <f t="shared" ref="O4:O12" si="8">N4=1</f>
        <v>0</v>
      </c>
    </row>
    <row r="5" spans="2:15" x14ac:dyDescent="0.3">
      <c r="B5" s="12" t="s">
        <v>10</v>
      </c>
      <c r="C5" s="11">
        <v>2</v>
      </c>
      <c r="D5" s="11">
        <v>75000</v>
      </c>
      <c r="E5" s="10">
        <v>5000</v>
      </c>
      <c r="F5" s="1">
        <f t="shared" si="0"/>
        <v>2</v>
      </c>
      <c r="G5" s="1">
        <f t="shared" si="1"/>
        <v>80000</v>
      </c>
      <c r="H5" s="17">
        <f t="shared" si="2"/>
        <v>6.6666666666666666E-2</v>
      </c>
      <c r="I5" s="1">
        <f t="shared" si="3"/>
        <v>80000</v>
      </c>
      <c r="J5" s="1" t="b">
        <f t="shared" si="4"/>
        <v>1</v>
      </c>
      <c r="K5" s="18" t="b">
        <f t="shared" si="5"/>
        <v>0</v>
      </c>
      <c r="L5" s="1" t="b">
        <f>$C$15&lt;=C5</f>
        <v>0</v>
      </c>
      <c r="M5" s="1" t="b">
        <f t="shared" si="6"/>
        <v>0</v>
      </c>
      <c r="N5" s="1">
        <f t="shared" si="7"/>
        <v>0</v>
      </c>
      <c r="O5" s="1" t="b">
        <f t="shared" si="8"/>
        <v>0</v>
      </c>
    </row>
    <row r="6" spans="2:15" x14ac:dyDescent="0.3">
      <c r="B6" s="12" t="s">
        <v>9</v>
      </c>
      <c r="C6" s="11">
        <v>6</v>
      </c>
      <c r="D6" s="11">
        <v>110000</v>
      </c>
      <c r="E6" s="10">
        <v>8000</v>
      </c>
      <c r="F6" s="1">
        <f t="shared" si="0"/>
        <v>6</v>
      </c>
      <c r="G6" s="1">
        <f t="shared" si="1"/>
        <v>118000</v>
      </c>
      <c r="H6" s="17">
        <f t="shared" si="2"/>
        <v>7.2727272727272724E-2</v>
      </c>
      <c r="I6" s="1">
        <f t="shared" si="3"/>
        <v>118000</v>
      </c>
      <c r="J6" s="1" t="b">
        <f t="shared" si="4"/>
        <v>1</v>
      </c>
      <c r="K6" s="18" t="b">
        <f t="shared" si="5"/>
        <v>0</v>
      </c>
      <c r="L6" s="1" t="b">
        <f t="shared" ref="L4:L12" si="9">$C$15&lt;=C6</f>
        <v>1</v>
      </c>
      <c r="M6" s="1" t="b">
        <f t="shared" si="6"/>
        <v>1</v>
      </c>
      <c r="N6" s="1">
        <f t="shared" si="7"/>
        <v>1</v>
      </c>
      <c r="O6" s="1" t="b">
        <f t="shared" si="8"/>
        <v>1</v>
      </c>
    </row>
    <row r="7" spans="2:15" x14ac:dyDescent="0.3">
      <c r="B7" s="12" t="s">
        <v>8</v>
      </c>
      <c r="C7" s="11">
        <v>3</v>
      </c>
      <c r="D7" s="11">
        <v>125000</v>
      </c>
      <c r="E7" s="10">
        <v>11000</v>
      </c>
      <c r="F7" s="1">
        <f t="shared" si="0"/>
        <v>3</v>
      </c>
      <c r="G7" s="1">
        <f t="shared" si="1"/>
        <v>136000</v>
      </c>
      <c r="H7" s="17">
        <f t="shared" si="2"/>
        <v>8.7999999999999995E-2</v>
      </c>
      <c r="I7" s="1">
        <f t="shared" si="3"/>
        <v>136000</v>
      </c>
      <c r="J7" s="1" t="b">
        <f t="shared" si="4"/>
        <v>1</v>
      </c>
      <c r="K7" s="18" t="b">
        <f t="shared" si="5"/>
        <v>0</v>
      </c>
      <c r="L7" s="1" t="b">
        <f t="shared" si="9"/>
        <v>0</v>
      </c>
      <c r="M7" s="1" t="b">
        <f t="shared" si="6"/>
        <v>1</v>
      </c>
      <c r="N7" s="1">
        <f t="shared" si="7"/>
        <v>0</v>
      </c>
      <c r="O7" s="1" t="b">
        <f t="shared" si="8"/>
        <v>0</v>
      </c>
    </row>
    <row r="8" spans="2:15" x14ac:dyDescent="0.3">
      <c r="B8" s="12" t="s">
        <v>7</v>
      </c>
      <c r="C8" s="11">
        <v>7</v>
      </c>
      <c r="D8" s="11">
        <v>90000</v>
      </c>
      <c r="E8" s="10">
        <v>7000</v>
      </c>
      <c r="F8" s="1">
        <f t="shared" si="0"/>
        <v>7</v>
      </c>
      <c r="G8" s="1">
        <f t="shared" si="1"/>
        <v>97000</v>
      </c>
      <c r="H8" s="17">
        <f t="shared" si="2"/>
        <v>7.7777777777777779E-2</v>
      </c>
      <c r="I8" s="1">
        <f t="shared" si="3"/>
        <v>97000</v>
      </c>
      <c r="J8" s="1" t="b">
        <f t="shared" si="4"/>
        <v>1</v>
      </c>
      <c r="K8" s="18" t="b">
        <f t="shared" si="5"/>
        <v>0</v>
      </c>
      <c r="L8" s="1" t="b">
        <f t="shared" si="9"/>
        <v>1</v>
      </c>
      <c r="M8" s="1" t="b">
        <f t="shared" si="6"/>
        <v>1</v>
      </c>
      <c r="N8" s="1">
        <f t="shared" si="7"/>
        <v>1</v>
      </c>
      <c r="O8" s="1" t="b">
        <f t="shared" si="8"/>
        <v>1</v>
      </c>
    </row>
    <row r="9" spans="2:15" x14ac:dyDescent="0.3">
      <c r="B9" s="12" t="s">
        <v>6</v>
      </c>
      <c r="C9" s="11">
        <v>10</v>
      </c>
      <c r="D9" s="11">
        <v>150000</v>
      </c>
      <c r="E9" s="10">
        <v>15000</v>
      </c>
      <c r="F9" s="1">
        <f t="shared" si="0"/>
        <v>10</v>
      </c>
      <c r="G9" s="1">
        <f t="shared" si="1"/>
        <v>165000</v>
      </c>
      <c r="H9" s="17">
        <f t="shared" si="2"/>
        <v>0.1</v>
      </c>
      <c r="I9" s="1">
        <f t="shared" si="3"/>
        <v>165000</v>
      </c>
      <c r="J9" s="1" t="b">
        <f t="shared" si="4"/>
        <v>1</v>
      </c>
      <c r="K9" s="18" t="b">
        <f t="shared" si="5"/>
        <v>0</v>
      </c>
      <c r="L9" s="1" t="b">
        <f t="shared" si="9"/>
        <v>1</v>
      </c>
      <c r="M9" s="1" t="b">
        <f t="shared" si="6"/>
        <v>1</v>
      </c>
      <c r="N9" s="1">
        <f t="shared" si="7"/>
        <v>1</v>
      </c>
      <c r="O9" s="1" t="b">
        <f t="shared" si="8"/>
        <v>1</v>
      </c>
    </row>
    <row r="10" spans="2:15" x14ac:dyDescent="0.3">
      <c r="B10" s="12" t="s">
        <v>5</v>
      </c>
      <c r="C10" s="11">
        <v>8</v>
      </c>
      <c r="D10" s="11">
        <v>130000</v>
      </c>
      <c r="E10" s="10">
        <v>13000</v>
      </c>
      <c r="F10" s="1">
        <f t="shared" si="0"/>
        <v>8</v>
      </c>
      <c r="G10" s="1">
        <f t="shared" si="1"/>
        <v>143000</v>
      </c>
      <c r="H10" s="17">
        <f t="shared" si="2"/>
        <v>0.1</v>
      </c>
      <c r="I10" s="1">
        <f t="shared" si="3"/>
        <v>143000</v>
      </c>
      <c r="J10" s="1" t="b">
        <f t="shared" si="4"/>
        <v>1</v>
      </c>
      <c r="K10" s="18" t="b">
        <f t="shared" si="5"/>
        <v>0</v>
      </c>
      <c r="L10" s="1" t="b">
        <f t="shared" si="9"/>
        <v>1</v>
      </c>
      <c r="M10" s="1" t="b">
        <f t="shared" si="6"/>
        <v>1</v>
      </c>
      <c r="N10" s="1">
        <f t="shared" si="7"/>
        <v>1</v>
      </c>
      <c r="O10" s="1" t="b">
        <f t="shared" si="8"/>
        <v>1</v>
      </c>
    </row>
    <row r="11" spans="2:15" x14ac:dyDescent="0.3">
      <c r="B11" s="12" t="s">
        <v>4</v>
      </c>
      <c r="C11" s="11">
        <v>3</v>
      </c>
      <c r="D11" s="11">
        <v>140000</v>
      </c>
      <c r="E11" s="10">
        <v>14000</v>
      </c>
      <c r="F11" s="1">
        <f t="shared" si="0"/>
        <v>3</v>
      </c>
      <c r="G11" s="1">
        <f t="shared" si="1"/>
        <v>154000</v>
      </c>
      <c r="H11" s="17">
        <f t="shared" si="2"/>
        <v>0.1</v>
      </c>
      <c r="I11" s="1">
        <f t="shared" si="3"/>
        <v>154000</v>
      </c>
      <c r="J11" s="1" t="b">
        <f t="shared" si="4"/>
        <v>1</v>
      </c>
      <c r="K11" s="18" t="b">
        <f t="shared" si="5"/>
        <v>0</v>
      </c>
      <c r="L11" s="1" t="b">
        <f t="shared" si="9"/>
        <v>0</v>
      </c>
      <c r="M11" s="1" t="b">
        <f t="shared" si="6"/>
        <v>1</v>
      </c>
      <c r="N11" s="1">
        <f t="shared" si="7"/>
        <v>0</v>
      </c>
      <c r="O11" s="1" t="b">
        <f t="shared" si="8"/>
        <v>0</v>
      </c>
    </row>
    <row r="12" spans="2:15" ht="15" thickBot="1" x14ac:dyDescent="0.35">
      <c r="B12" s="9" t="s">
        <v>3</v>
      </c>
      <c r="C12" s="8">
        <v>5</v>
      </c>
      <c r="D12" s="8">
        <v>115000</v>
      </c>
      <c r="E12" s="7">
        <v>9000</v>
      </c>
      <c r="F12" s="1">
        <f t="shared" si="0"/>
        <v>5</v>
      </c>
      <c r="G12" s="1">
        <f t="shared" si="1"/>
        <v>124000</v>
      </c>
      <c r="H12" s="17">
        <f t="shared" si="2"/>
        <v>7.8260869565217397E-2</v>
      </c>
      <c r="I12" s="1">
        <f t="shared" si="3"/>
        <v>124000</v>
      </c>
      <c r="J12" s="1" t="b">
        <f t="shared" si="4"/>
        <v>1</v>
      </c>
      <c r="K12" s="18" t="b">
        <f t="shared" si="5"/>
        <v>0</v>
      </c>
      <c r="L12" s="1" t="b">
        <f t="shared" si="9"/>
        <v>0</v>
      </c>
      <c r="M12" s="1" t="b">
        <f t="shared" si="6"/>
        <v>1</v>
      </c>
      <c r="N12" s="1">
        <f t="shared" si="7"/>
        <v>0</v>
      </c>
      <c r="O12" s="1" t="b">
        <f t="shared" si="8"/>
        <v>0</v>
      </c>
    </row>
    <row r="14" spans="2:15" ht="15" thickBot="1" x14ac:dyDescent="0.35">
      <c r="B14" s="6" t="s">
        <v>2</v>
      </c>
    </row>
    <row r="15" spans="2:15" x14ac:dyDescent="0.3">
      <c r="B15" s="5" t="s">
        <v>1</v>
      </c>
      <c r="C15" s="4">
        <v>6</v>
      </c>
    </row>
    <row r="16" spans="2:15" ht="15" thickBot="1" x14ac:dyDescent="0.35">
      <c r="B16" s="3" t="s">
        <v>0</v>
      </c>
      <c r="C16" s="2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2026-05-25T07:16:22Z</dcterms:created>
  <dcterms:modified xsi:type="dcterms:W3CDTF">2026-05-25T10:17:40Z</dcterms:modified>
</cp:coreProperties>
</file>